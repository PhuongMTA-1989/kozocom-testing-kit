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320"/>
  </bookViews>
  <sheets>
    <sheet name="Templ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<sst xmlns="http://schemas.openxmlformats.org/spreadsheetml/2006/main" count="67" uniqueCount="38">
  <si>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一覧に戻る /BACK TO LIST</t>
  </si>
  <si>
    <t>環境/Test environment</t>
  </si>
  <si>
    <t>STG</t>
  </si>
  <si>
    <t>ブラウザ/ Browser</t>
  </si>
  <si>
    <t>Google Chrome</t>
  </si>
  <si>
    <t>Round 1</t>
  </si>
  <si>
    <t>Round 2</t>
  </si>
  <si>
    <t>Round 3</t>
  </si>
  <si>
    <t>総項目/ Total testcase</t>
  </si>
  <si>
    <t>総項目/Total testcase</t>
  </si>
  <si>
    <t>Passed</t>
  </si>
  <si>
    <t>Failed</t>
  </si>
  <si>
    <t>Confirmed</t>
  </si>
  <si>
    <t>N/A (Pending)</t>
  </si>
  <si>
    <t>CREATED BY</t>
  </si>
  <si>
    <t>NT (Not test)</t>
  </si>
  <si>
    <t>SPECS</t>
  </si>
  <si>
    <t>残項目数/ Number of remaining testcases</t>
  </si>
  <si>
    <t>残項目数/Number of remaining testcases</t>
  </si>
  <si>
    <t>進捗率/Progress rate</t>
  </si>
  <si>
    <t>URL</t>
  </si>
  <si>
    <t>JP or VN</t>
  </si>
  <si>
    <t>No</t>
  </si>
  <si>
    <t>対象項目名
Target Item</t>
  </si>
  <si>
    <t>タイプ
Type</t>
  </si>
  <si>
    <t>前提条件
Pre-condition</t>
  </si>
  <si>
    <t>何をテストするのか
 Testcase</t>
  </si>
  <si>
    <t>実施手順
Steps to perform</t>
  </si>
  <si>
    <t>データテスト
Data test</t>
  </si>
  <si>
    <t>予測される挙動
Expected behavior</t>
  </si>
  <si>
    <t>スターテス/Status</t>
  </si>
  <si>
    <t>BugID</t>
  </si>
  <si>
    <t>検証日
Date</t>
  </si>
  <si>
    <t>検証者
Tester</t>
  </si>
  <si>
    <t>備考
Memo</t>
  </si>
  <si>
    <t>VN</t>
  </si>
  <si>
    <t>NT</t>
  </si>
  <si>
    <t>TesterA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</si>
</sst>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/mm/dd"/>
  </numFmts>
  <fonts count="3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b/>
      <sz val="10"/>
      <color rgb="FF0000FF"/>
      <name val="Arial"/>
      <charset val="134"/>
    </font>
    <font>
      <sz val="10"/>
      <name val="Arial"/>
      <charset val="134"/>
      <scheme val="minor"/>
    </font>
    <font>
      <b/>
      <sz val="11"/>
      <color rgb="FF0000FF"/>
      <name val="Arial"/>
      <charset val="134"/>
    </font>
    <font>
      <u/>
      <sz val="10"/>
      <color rgb="FF0000FF"/>
      <name val="Arial"/>
      <charset val="134"/>
    </font>
    <font>
      <b/>
      <sz val="11"/>
      <color rgb="FF000000"/>
      <name val="Arial"/>
      <charset val="134"/>
    </font>
    <font>
      <sz val="10"/>
      <color theme="1"/>
      <name val="Arial"/>
      <charset val="134"/>
      <scheme val="minor"/>
    </font>
    <font>
      <b/>
      <sz val="12"/>
      <color rgb="FF45818E"/>
      <name val="Arial"/>
      <charset val="134"/>
    </font>
    <font>
      <sz val="12"/>
      <color theme="1"/>
      <name val="Arial"/>
      <charset val="134"/>
    </font>
    <font>
      <u/>
      <sz val="11"/>
      <color theme="1"/>
      <name val="Arial"/>
      <charset val="134"/>
    </font>
    <font>
      <b/>
      <sz val="11"/>
      <color rgb="FF000000"/>
      <name val="游ゴシック"/>
      <charset val="134"/>
    </font>
    <font>
      <sz val="11"/>
      <color theme="1"/>
      <name val="Inconsolat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8EBDE"/>
        <bgColor rgb="FFF8EBDE"/>
      </patternFill>
    </fill>
    <fill>
      <patternFill patternType="solid">
        <fgColor rgb="FFEEF7F3"/>
        <bgColor rgb="FFEEF7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10" borderId="17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11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41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1" xfId="0" applyFont="1" applyFill="1" applyBorder="1" applyAlignment="1"/>
    <xf numFmtId="0" fontId="1" fillId="2" borderId="2" xfId="0" applyFont="1" applyFill="1" applyBorder="1" applyAlignment="1"/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5" fillId="4" borderId="1" xfId="0" applyFont="1" applyFill="1" applyBorder="1" applyAlignment="1">
      <alignment horizontal="center" wrapText="1"/>
    </xf>
    <xf numFmtId="0" fontId="6" fillId="2" borderId="2" xfId="0" applyFont="1" applyFill="1" applyBorder="1" applyAlignment="1"/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Border="1"/>
    <xf numFmtId="0" fontId="6" fillId="2" borderId="1" xfId="0" applyFont="1" applyFill="1" applyBorder="1" applyAlignment="1"/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10" fontId="10" fillId="2" borderId="2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" fillId="0" borderId="1" xfId="0" applyFont="1" applyBorder="1" applyAlignment="1"/>
    <xf numFmtId="0" fontId="12" fillId="5" borderId="6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wrapText="1"/>
    </xf>
    <xf numFmtId="0" fontId="9" fillId="7" borderId="2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4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10" fontId="13" fillId="2" borderId="1" xfId="0" applyNumberFormat="1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40"/>
  <sheetViews>
    <sheetView tabSelected="1" workbookViewId="0">
      <selection activeCell="B12" sqref="B12:D12"/>
    </sheetView>
  </sheetViews>
  <sheetFormatPr defaultColWidth="12.6339285714286" defaultRowHeight="15.75" customHeight="1"/>
  <cols>
    <col min="1" max="1" width="13.3839285714286" customWidth="1"/>
    <col min="2" max="2" width="6.88392857142857" customWidth="1"/>
    <col min="3" max="3" width="18.75" customWidth="1"/>
    <col min="4" max="4" width="16.8839285714286" customWidth="1"/>
    <col min="5" max="5" width="22" customWidth="1"/>
    <col min="6" max="6" width="31.6339285714286" customWidth="1"/>
    <col min="7" max="7" width="18.75" customWidth="1"/>
    <col min="8" max="9" width="26.1339285714286" customWidth="1"/>
    <col min="10" max="12" width="18.75" customWidth="1"/>
  </cols>
  <sheetData>
    <row r="1" ht="15.2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7.6" spans="1:12">
      <c r="A2" s="1"/>
      <c r="B2" s="1"/>
      <c r="C2" s="2"/>
      <c r="D2" s="2"/>
      <c r="E2" s="22" t="s">
        <v>0</v>
      </c>
      <c r="F2" s="23" t="s">
        <v>1</v>
      </c>
      <c r="G2" s="24" t="s">
        <v>2</v>
      </c>
      <c r="H2" s="10"/>
      <c r="I2" s="32" t="s">
        <v>3</v>
      </c>
      <c r="J2" s="33" t="s">
        <v>4</v>
      </c>
      <c r="K2" s="5"/>
      <c r="L2" s="6"/>
    </row>
    <row r="3" ht="18" spans="1:12">
      <c r="A3" s="1"/>
      <c r="B3" s="1"/>
      <c r="C3" s="2"/>
      <c r="D3" s="2"/>
      <c r="E3" s="21"/>
      <c r="F3" s="11"/>
      <c r="G3" s="12"/>
      <c r="H3" s="14"/>
      <c r="I3" s="11"/>
      <c r="J3" s="34" t="s">
        <v>5</v>
      </c>
      <c r="K3" s="35" t="s">
        <v>6</v>
      </c>
      <c r="L3" s="35" t="s">
        <v>7</v>
      </c>
    </row>
    <row r="4" ht="18" spans="1:12">
      <c r="A4" s="1"/>
      <c r="B4" s="1"/>
      <c r="C4" s="1"/>
      <c r="D4" s="1"/>
      <c r="E4" s="21"/>
      <c r="F4" s="25" t="s">
        <v>8</v>
      </c>
      <c r="G4" s="26">
        <f t="shared" ref="G4:G10" si="0">SUM(J4:L4)</f>
        <v>78</v>
      </c>
      <c r="H4" s="6"/>
      <c r="I4" s="25" t="s">
        <v>9</v>
      </c>
      <c r="J4" s="36">
        <f t="shared" ref="J4:L4" si="1">COUNTA($B$15:$B$5358)-COUNTIF($B$15:$B$5358,"NT")</f>
        <v>26</v>
      </c>
      <c r="K4" s="36">
        <f t="shared" si="1"/>
        <v>26</v>
      </c>
      <c r="L4" s="36">
        <f t="shared" si="1"/>
        <v>26</v>
      </c>
    </row>
    <row r="5" ht="18" spans="1:12">
      <c r="A5" s="1"/>
      <c r="B5" s="1"/>
      <c r="C5" s="1"/>
      <c r="D5" s="1"/>
      <c r="E5" s="27"/>
      <c r="F5" s="25" t="s">
        <v>10</v>
      </c>
      <c r="G5" s="26">
        <f t="shared" si="0"/>
        <v>6</v>
      </c>
      <c r="H5" s="6"/>
      <c r="I5" s="25" t="s">
        <v>10</v>
      </c>
      <c r="J5" s="36">
        <f>COUNTIF($J$15:$J$5307,"Passed")</f>
        <v>4</v>
      </c>
      <c r="K5" s="36">
        <f>COUNTIF($O$15:$O$5307,"Passed")</f>
        <v>2</v>
      </c>
      <c r="L5" s="36">
        <f>COUNTIF($T$15:$T$5307,"Passed")</f>
        <v>0</v>
      </c>
    </row>
    <row r="6" ht="18" spans="1:12">
      <c r="A6" s="1"/>
      <c r="B6" s="1"/>
      <c r="C6" s="1"/>
      <c r="D6" s="1"/>
      <c r="E6" s="27"/>
      <c r="F6" s="25" t="s">
        <v>11</v>
      </c>
      <c r="G6" s="26">
        <f t="shared" si="0"/>
        <v>1</v>
      </c>
      <c r="H6" s="6"/>
      <c r="I6" s="25" t="s">
        <v>11</v>
      </c>
      <c r="J6" s="36">
        <f>COUNTIF($J$15:$J$5307,"Failed")</f>
        <v>1</v>
      </c>
      <c r="K6" s="36">
        <f>COUNTIF($O$15:$O$5307,"Failed")</f>
        <v>0</v>
      </c>
      <c r="L6" s="36">
        <f>COUNTIF($T$15:$T$5307,"Failed")</f>
        <v>0</v>
      </c>
    </row>
    <row r="7" ht="18" spans="1:12">
      <c r="A7" s="1"/>
      <c r="B7" s="1"/>
      <c r="C7" s="1"/>
      <c r="D7" s="1"/>
      <c r="E7" s="27"/>
      <c r="F7" s="25" t="s">
        <v>12</v>
      </c>
      <c r="G7" s="26">
        <f t="shared" si="0"/>
        <v>2</v>
      </c>
      <c r="H7" s="6"/>
      <c r="I7" s="25" t="s">
        <v>12</v>
      </c>
      <c r="J7" s="36">
        <f>COUNTIF($J$15:$J$5307,"Confirmed")</f>
        <v>0</v>
      </c>
      <c r="K7" s="36">
        <f>COUNTIF($O$15:$O$5307,"Confirmed")</f>
        <v>2</v>
      </c>
      <c r="L7" s="36">
        <f>COUNTIF($T$15:$T$5307,"Confirmed")</f>
        <v>0</v>
      </c>
    </row>
    <row r="8" ht="18" spans="1:12">
      <c r="A8" s="1"/>
      <c r="B8" s="1"/>
      <c r="C8" s="1"/>
      <c r="D8" s="1"/>
      <c r="E8" s="27"/>
      <c r="F8" s="25" t="s">
        <v>13</v>
      </c>
      <c r="G8" s="26">
        <f t="shared" si="0"/>
        <v>0</v>
      </c>
      <c r="H8" s="6"/>
      <c r="I8" s="25" t="s">
        <v>13</v>
      </c>
      <c r="J8" s="36">
        <f>COUNTIF($J$15:$J$5307,"N/A")</f>
        <v>0</v>
      </c>
      <c r="K8" s="36">
        <f>COUNTIF($O$15:$O$5307,"N/A")</f>
        <v>0</v>
      </c>
      <c r="L8" s="36">
        <f>COUNTIF($T$15:$T$5307,"N/A")</f>
        <v>0</v>
      </c>
    </row>
    <row r="9" ht="18" spans="1:12">
      <c r="A9" s="3" t="s">
        <v>14</v>
      </c>
      <c r="B9" s="4"/>
      <c r="C9" s="5"/>
      <c r="D9" s="6"/>
      <c r="E9" s="27"/>
      <c r="F9" s="25" t="s">
        <v>15</v>
      </c>
      <c r="G9" s="26">
        <f t="shared" si="0"/>
        <v>2</v>
      </c>
      <c r="H9" s="6"/>
      <c r="I9" s="25" t="s">
        <v>15</v>
      </c>
      <c r="J9" s="36">
        <f>COUNTIF($J$15:$J$5307,"NT")</f>
        <v>0</v>
      </c>
      <c r="K9" s="36">
        <f>COUNTIF($O$15:$O$5307,"NT")</f>
        <v>2</v>
      </c>
      <c r="L9" s="36">
        <f>COUNTIF($T$15:$T$5307,"NT")</f>
        <v>0</v>
      </c>
    </row>
    <row r="10" ht="36" spans="1:12">
      <c r="A10" s="7" t="s">
        <v>16</v>
      </c>
      <c r="B10" s="8"/>
      <c r="C10" s="9"/>
      <c r="D10" s="10"/>
      <c r="E10" s="27"/>
      <c r="F10" s="25" t="s">
        <v>17</v>
      </c>
      <c r="G10" s="26">
        <f t="shared" si="0"/>
        <v>69</v>
      </c>
      <c r="H10" s="6"/>
      <c r="I10" s="25" t="s">
        <v>18</v>
      </c>
      <c r="J10" s="36">
        <f t="shared" ref="J10:L10" si="2">J4-(J5+J6+J7)</f>
        <v>21</v>
      </c>
      <c r="K10" s="36">
        <f t="shared" si="2"/>
        <v>22</v>
      </c>
      <c r="L10" s="36">
        <f t="shared" si="2"/>
        <v>26</v>
      </c>
    </row>
    <row r="11" ht="18" spans="1:12">
      <c r="A11" s="11"/>
      <c r="B11" s="12"/>
      <c r="C11" s="13"/>
      <c r="D11" s="14"/>
      <c r="E11" s="27"/>
      <c r="F11" s="25" t="s">
        <v>19</v>
      </c>
      <c r="G11" s="28">
        <f>(G5+G6+G7)/J4</f>
        <v>0.346153846153846</v>
      </c>
      <c r="H11" s="6"/>
      <c r="I11" s="25" t="s">
        <v>19</v>
      </c>
      <c r="J11" s="37">
        <f t="shared" ref="J11:L11" si="3">(J5+J6+J7)/J4</f>
        <v>0.192307692307692</v>
      </c>
      <c r="K11" s="37">
        <f t="shared" si="3"/>
        <v>0.153846153846154</v>
      </c>
      <c r="L11" s="37">
        <f t="shared" si="3"/>
        <v>0</v>
      </c>
    </row>
    <row r="12" ht="45" customHeight="1" spans="1:12">
      <c r="A12" s="15" t="s">
        <v>20</v>
      </c>
      <c r="B12" s="16"/>
      <c r="C12" s="5"/>
      <c r="D12" s="6"/>
      <c r="E12" s="29"/>
      <c r="F12" s="30"/>
      <c r="G12" s="30"/>
      <c r="H12" s="30"/>
      <c r="I12" s="30"/>
      <c r="J12" s="30"/>
      <c r="K12" s="30"/>
      <c r="L12" s="30"/>
    </row>
    <row r="13" ht="16.8" spans="1:24">
      <c r="A13" s="17" t="s">
        <v>21</v>
      </c>
      <c r="B13" s="17" t="s">
        <v>22</v>
      </c>
      <c r="C13" s="17" t="s">
        <v>23</v>
      </c>
      <c r="D13" s="18" t="s">
        <v>24</v>
      </c>
      <c r="E13" s="31" t="s">
        <v>25</v>
      </c>
      <c r="F13" s="17" t="s">
        <v>26</v>
      </c>
      <c r="G13" s="17" t="s">
        <v>27</v>
      </c>
      <c r="H13" s="17" t="s">
        <v>28</v>
      </c>
      <c r="I13" s="17" t="s">
        <v>29</v>
      </c>
      <c r="J13" s="38" t="s">
        <v>5</v>
      </c>
      <c r="K13" s="5"/>
      <c r="L13" s="5"/>
      <c r="M13" s="5"/>
      <c r="N13" s="6"/>
      <c r="O13" s="38" t="s">
        <v>6</v>
      </c>
      <c r="P13" s="5"/>
      <c r="Q13" s="5"/>
      <c r="R13" s="5"/>
      <c r="S13" s="6"/>
      <c r="T13" s="38" t="s">
        <v>7</v>
      </c>
      <c r="U13" s="5"/>
      <c r="V13" s="5"/>
      <c r="W13" s="5"/>
      <c r="X13" s="6"/>
    </row>
    <row r="14" ht="34" spans="1:24">
      <c r="A14" s="11"/>
      <c r="B14" s="11"/>
      <c r="C14" s="11"/>
      <c r="D14" s="12"/>
      <c r="E14" s="12"/>
      <c r="F14" s="11"/>
      <c r="G14" s="11"/>
      <c r="H14" s="11"/>
      <c r="I14" s="11"/>
      <c r="J14" s="39" t="s">
        <v>30</v>
      </c>
      <c r="K14" s="39" t="s">
        <v>31</v>
      </c>
      <c r="L14" s="17" t="s">
        <v>32</v>
      </c>
      <c r="M14" s="17" t="s">
        <v>33</v>
      </c>
      <c r="N14" s="17" t="s">
        <v>34</v>
      </c>
      <c r="O14" s="39" t="s">
        <v>30</v>
      </c>
      <c r="P14" s="39" t="s">
        <v>31</v>
      </c>
      <c r="Q14" s="17" t="s">
        <v>32</v>
      </c>
      <c r="R14" s="17" t="s">
        <v>33</v>
      </c>
      <c r="S14" s="17" t="s">
        <v>34</v>
      </c>
      <c r="T14" s="39" t="s">
        <v>30</v>
      </c>
      <c r="U14" s="39" t="s">
        <v>31</v>
      </c>
      <c r="V14" s="17" t="s">
        <v>32</v>
      </c>
      <c r="W14" s="17" t="s">
        <v>33</v>
      </c>
      <c r="X14" s="17" t="s">
        <v>34</v>
      </c>
    </row>
    <row r="15" ht="15.2" spans="1:24">
      <c r="A15" s="19" t="s">
        <v>35</v>
      </c>
      <c r="B15" s="20">
        <f t="shared" ref="B15:B40" si="4">(ROW()-(ROW($B$14)))</f>
        <v>1</v>
      </c>
      <c r="C15" s="21"/>
      <c r="D15" s="21"/>
      <c r="E15" s="21"/>
      <c r="F15" s="21"/>
      <c r="G15" s="21"/>
      <c r="H15" s="21"/>
      <c r="I15" s="21"/>
      <c r="J15" s="20" t="s">
        <v>10</v>
      </c>
      <c r="K15" s="21"/>
      <c r="L15" s="40"/>
      <c r="M15" s="20"/>
      <c r="N15" s="21"/>
      <c r="O15" s="20" t="s">
        <v>36</v>
      </c>
      <c r="P15" s="21"/>
      <c r="Q15" s="40"/>
      <c r="R15" s="20"/>
      <c r="S15" s="21"/>
      <c r="T15" s="20"/>
      <c r="U15" s="21"/>
      <c r="V15" s="40"/>
      <c r="W15" s="20" t="s">
        <v>37</v>
      </c>
      <c r="X15" s="21"/>
    </row>
    <row r="16" ht="15.2" spans="1:24">
      <c r="A16" s="21"/>
      <c r="B16" s="20">
        <f t="shared" si="4"/>
        <v>2</v>
      </c>
      <c r="C16" s="21"/>
      <c r="D16" s="21"/>
      <c r="E16" s="21"/>
      <c r="F16" s="21"/>
      <c r="G16" s="21"/>
      <c r="H16" s="21"/>
      <c r="I16" s="21"/>
      <c r="J16" s="20" t="s">
        <v>11</v>
      </c>
      <c r="K16" s="21"/>
      <c r="L16" s="40"/>
      <c r="M16" s="21"/>
      <c r="N16" s="21"/>
      <c r="O16" s="20" t="s">
        <v>12</v>
      </c>
      <c r="P16" s="21"/>
      <c r="Q16" s="40"/>
      <c r="R16" s="21"/>
      <c r="S16" s="21"/>
      <c r="T16" s="20"/>
      <c r="U16" s="21"/>
      <c r="V16" s="40"/>
      <c r="W16" s="21"/>
      <c r="X16" s="21"/>
    </row>
    <row r="17" ht="15.2" spans="1:24">
      <c r="A17" s="21"/>
      <c r="B17" s="20">
        <f t="shared" si="4"/>
        <v>3</v>
      </c>
      <c r="C17" s="21"/>
      <c r="D17" s="21"/>
      <c r="E17" s="21"/>
      <c r="F17" s="21"/>
      <c r="G17" s="21"/>
      <c r="H17" s="21"/>
      <c r="I17" s="21"/>
      <c r="J17" s="20" t="s">
        <v>10</v>
      </c>
      <c r="K17" s="21"/>
      <c r="L17" s="40"/>
      <c r="M17" s="21"/>
      <c r="N17" s="21"/>
      <c r="O17" s="20" t="s">
        <v>10</v>
      </c>
      <c r="P17" s="21"/>
      <c r="Q17" s="40"/>
      <c r="R17" s="21"/>
      <c r="S17" s="21"/>
      <c r="T17" s="20"/>
      <c r="U17" s="21"/>
      <c r="V17" s="40"/>
      <c r="W17" s="21"/>
      <c r="X17" s="21"/>
    </row>
    <row r="18" ht="15.2" spans="1:24">
      <c r="A18" s="21"/>
      <c r="B18" s="20">
        <f t="shared" si="4"/>
        <v>4</v>
      </c>
      <c r="C18" s="21"/>
      <c r="D18" s="21"/>
      <c r="E18" s="21"/>
      <c r="F18" s="21"/>
      <c r="G18" s="21"/>
      <c r="H18" s="21"/>
      <c r="I18" s="21"/>
      <c r="J18" s="20" t="s">
        <v>10</v>
      </c>
      <c r="K18" s="21"/>
      <c r="L18" s="40"/>
      <c r="M18" s="21"/>
      <c r="N18" s="21"/>
      <c r="O18" s="20" t="s">
        <v>10</v>
      </c>
      <c r="P18" s="21"/>
      <c r="Q18" s="40"/>
      <c r="R18" s="21"/>
      <c r="S18" s="21"/>
      <c r="T18" s="20"/>
      <c r="U18" s="21"/>
      <c r="V18" s="40"/>
      <c r="W18" s="21"/>
      <c r="X18" s="21"/>
    </row>
    <row r="19" ht="15.2" spans="1:24">
      <c r="A19" s="21"/>
      <c r="B19" s="20">
        <f t="shared" si="4"/>
        <v>5</v>
      </c>
      <c r="C19" s="21"/>
      <c r="D19" s="21"/>
      <c r="E19" s="21"/>
      <c r="F19" s="21"/>
      <c r="G19" s="21"/>
      <c r="H19" s="21"/>
      <c r="I19" s="21"/>
      <c r="J19" s="20" t="s">
        <v>10</v>
      </c>
      <c r="K19" s="21"/>
      <c r="L19" s="40"/>
      <c r="M19" s="21"/>
      <c r="N19" s="21"/>
      <c r="O19" s="20" t="s">
        <v>36</v>
      </c>
      <c r="P19" s="21"/>
      <c r="Q19" s="40"/>
      <c r="R19" s="21"/>
      <c r="S19" s="21"/>
      <c r="T19" s="20"/>
      <c r="U19" s="21"/>
      <c r="V19" s="40"/>
      <c r="W19" s="21"/>
      <c r="X19" s="21"/>
    </row>
    <row r="20" ht="15.2" spans="1:24">
      <c r="A20" s="21"/>
      <c r="B20" s="20">
        <f t="shared" si="4"/>
        <v>6</v>
      </c>
      <c r="C20" s="21"/>
      <c r="D20" s="21"/>
      <c r="E20" s="21"/>
      <c r="F20" s="21"/>
      <c r="G20" s="21"/>
      <c r="H20" s="21"/>
      <c r="I20" s="21"/>
      <c r="J20" s="20"/>
      <c r="K20" s="21"/>
      <c r="L20" s="40"/>
      <c r="M20" s="21"/>
      <c r="N20" s="21"/>
      <c r="O20" s="20" t="s">
        <v>12</v>
      </c>
      <c r="P20" s="21"/>
      <c r="Q20" s="40"/>
      <c r="R20" s="21"/>
      <c r="S20" s="21"/>
      <c r="T20" s="20"/>
      <c r="U20" s="21"/>
      <c r="V20" s="40"/>
      <c r="W20" s="21"/>
      <c r="X20" s="21"/>
    </row>
    <row r="21" ht="15.2" spans="1:24">
      <c r="A21" s="21"/>
      <c r="B21" s="20">
        <f t="shared" si="4"/>
        <v>7</v>
      </c>
      <c r="C21" s="21"/>
      <c r="D21" s="21"/>
      <c r="E21" s="21"/>
      <c r="F21" s="21"/>
      <c r="G21" s="21"/>
      <c r="H21" s="21"/>
      <c r="I21" s="21"/>
      <c r="J21" s="20"/>
      <c r="K21" s="21"/>
      <c r="L21" s="40"/>
      <c r="M21" s="21"/>
      <c r="N21" s="21"/>
      <c r="O21" s="20"/>
      <c r="P21" s="21"/>
      <c r="Q21" s="40"/>
      <c r="R21" s="21"/>
      <c r="S21" s="21"/>
      <c r="T21" s="20"/>
      <c r="U21" s="21"/>
      <c r="V21" s="40"/>
      <c r="W21" s="21"/>
      <c r="X21" s="21"/>
    </row>
    <row r="22" ht="15.2" spans="1:24">
      <c r="A22" s="21"/>
      <c r="B22" s="20">
        <f t="shared" si="4"/>
        <v>8</v>
      </c>
      <c r="C22" s="21"/>
      <c r="D22" s="21"/>
      <c r="E22" s="21"/>
      <c r="F22" s="21"/>
      <c r="G22" s="21"/>
      <c r="H22" s="21"/>
      <c r="I22" s="21"/>
      <c r="J22" s="20"/>
      <c r="K22" s="21"/>
      <c r="L22" s="40"/>
      <c r="M22" s="21"/>
      <c r="N22" s="21"/>
      <c r="O22" s="20"/>
      <c r="P22" s="21"/>
      <c r="Q22" s="40"/>
      <c r="R22" s="21"/>
      <c r="S22" s="21"/>
      <c r="T22" s="20"/>
      <c r="U22" s="21"/>
      <c r="V22" s="40"/>
      <c r="W22" s="21"/>
      <c r="X22" s="21"/>
    </row>
    <row r="23" ht="15.2" spans="1:24">
      <c r="A23" s="21"/>
      <c r="B23" s="20">
        <f t="shared" si="4"/>
        <v>9</v>
      </c>
      <c r="C23" s="21"/>
      <c r="D23" s="21"/>
      <c r="E23" s="21"/>
      <c r="F23" s="21"/>
      <c r="G23" s="21"/>
      <c r="H23" s="21"/>
      <c r="I23" s="21"/>
      <c r="J23" s="20"/>
      <c r="K23" s="21"/>
      <c r="L23" s="40"/>
      <c r="M23" s="21"/>
      <c r="N23" s="21"/>
      <c r="O23" s="20"/>
      <c r="P23" s="21"/>
      <c r="Q23" s="40"/>
      <c r="R23" s="21"/>
      <c r="S23" s="21"/>
      <c r="T23" s="20"/>
      <c r="U23" s="21"/>
      <c r="V23" s="40"/>
      <c r="W23" s="21"/>
      <c r="X23" s="21"/>
    </row>
    <row r="24" ht="15.2" spans="1:24">
      <c r="A24" s="21"/>
      <c r="B24" s="20">
        <f t="shared" si="4"/>
        <v>10</v>
      </c>
      <c r="C24" s="21"/>
      <c r="D24" s="21"/>
      <c r="E24" s="21"/>
      <c r="F24" s="21"/>
      <c r="G24" s="21"/>
      <c r="H24" s="21"/>
      <c r="I24" s="21"/>
      <c r="J24" s="20"/>
      <c r="K24" s="21"/>
      <c r="L24" s="40"/>
      <c r="M24" s="21"/>
      <c r="N24" s="21"/>
      <c r="O24" s="20"/>
      <c r="P24" s="21"/>
      <c r="Q24" s="40"/>
      <c r="R24" s="21"/>
      <c r="S24" s="21"/>
      <c r="T24" s="20"/>
      <c r="U24" s="21"/>
      <c r="V24" s="40"/>
      <c r="W24" s="21"/>
      <c r="X24" s="21"/>
    </row>
    <row r="25" ht="15.2" spans="1:24">
      <c r="A25" s="21"/>
      <c r="B25" s="20">
        <f t="shared" si="4"/>
        <v>11</v>
      </c>
      <c r="C25" s="21"/>
      <c r="D25" s="21"/>
      <c r="E25" s="21"/>
      <c r="F25" s="21"/>
      <c r="G25" s="21"/>
      <c r="H25" s="21"/>
      <c r="I25" s="21"/>
      <c r="J25" s="20"/>
      <c r="K25" s="21"/>
      <c r="L25" s="40"/>
      <c r="M25" s="21"/>
      <c r="N25" s="21"/>
      <c r="O25" s="20"/>
      <c r="P25" s="21"/>
      <c r="Q25" s="40"/>
      <c r="R25" s="21"/>
      <c r="S25" s="21"/>
      <c r="T25" s="20"/>
      <c r="U25" s="21"/>
      <c r="V25" s="40"/>
      <c r="W25" s="21"/>
      <c r="X25" s="21"/>
    </row>
    <row r="26" ht="15.2" spans="1:24">
      <c r="A26" s="21"/>
      <c r="B26" s="20">
        <f t="shared" si="4"/>
        <v>12</v>
      </c>
      <c r="C26" s="21"/>
      <c r="D26" s="21"/>
      <c r="E26" s="21"/>
      <c r="F26" s="21"/>
      <c r="G26" s="21"/>
      <c r="H26" s="21"/>
      <c r="I26" s="21"/>
      <c r="J26" s="20"/>
      <c r="K26" s="21"/>
      <c r="L26" s="40"/>
      <c r="M26" s="21"/>
      <c r="N26" s="21"/>
      <c r="O26" s="20"/>
      <c r="P26" s="21"/>
      <c r="Q26" s="40"/>
      <c r="R26" s="21"/>
      <c r="S26" s="21"/>
      <c r="T26" s="20"/>
      <c r="U26" s="21"/>
      <c r="V26" s="40"/>
      <c r="W26" s="21"/>
      <c r="X26" s="21"/>
    </row>
    <row r="27" ht="15.2" spans="1:24">
      <c r="A27" s="21"/>
      <c r="B27" s="20">
        <f t="shared" si="4"/>
        <v>13</v>
      </c>
      <c r="C27" s="21"/>
      <c r="D27" s="21"/>
      <c r="E27" s="21"/>
      <c r="F27" s="21"/>
      <c r="G27" s="21"/>
      <c r="H27" s="21"/>
      <c r="I27" s="21"/>
      <c r="J27" s="20"/>
      <c r="K27" s="21"/>
      <c r="L27" s="40"/>
      <c r="M27" s="21"/>
      <c r="N27" s="21"/>
      <c r="O27" s="20"/>
      <c r="P27" s="21"/>
      <c r="Q27" s="40"/>
      <c r="R27" s="21"/>
      <c r="S27" s="21"/>
      <c r="T27" s="20"/>
      <c r="U27" s="21"/>
      <c r="V27" s="40"/>
      <c r="W27" s="21"/>
      <c r="X27" s="21"/>
    </row>
    <row r="28" ht="15.2" spans="1:24">
      <c r="A28" s="21"/>
      <c r="B28" s="20">
        <f t="shared" si="4"/>
        <v>14</v>
      </c>
      <c r="C28" s="21"/>
      <c r="D28" s="21"/>
      <c r="E28" s="21"/>
      <c r="F28" s="21"/>
      <c r="G28" s="21"/>
      <c r="H28" s="21"/>
      <c r="I28" s="21"/>
      <c r="J28" s="20"/>
      <c r="K28" s="21"/>
      <c r="L28" s="40"/>
      <c r="M28" s="21"/>
      <c r="N28" s="21"/>
      <c r="O28" s="20"/>
      <c r="P28" s="21"/>
      <c r="Q28" s="40"/>
      <c r="R28" s="21"/>
      <c r="S28" s="21"/>
      <c r="T28" s="20"/>
      <c r="U28" s="21"/>
      <c r="V28" s="40"/>
      <c r="W28" s="21"/>
      <c r="X28" s="21"/>
    </row>
    <row r="29" ht="15.2" spans="1:24">
      <c r="A29" s="21"/>
      <c r="B29" s="20">
        <f t="shared" si="4"/>
        <v>15</v>
      </c>
      <c r="C29" s="21"/>
      <c r="D29" s="21"/>
      <c r="E29" s="21"/>
      <c r="F29" s="21"/>
      <c r="G29" s="21"/>
      <c r="H29" s="21"/>
      <c r="I29" s="21"/>
      <c r="J29" s="20"/>
      <c r="K29" s="21"/>
      <c r="L29" s="40"/>
      <c r="M29" s="21"/>
      <c r="N29" s="21"/>
      <c r="O29" s="20"/>
      <c r="P29" s="21"/>
      <c r="Q29" s="40"/>
      <c r="R29" s="21"/>
      <c r="S29" s="21"/>
      <c r="T29" s="20"/>
      <c r="U29" s="21"/>
      <c r="V29" s="40"/>
      <c r="W29" s="21"/>
      <c r="X29" s="21"/>
    </row>
    <row r="30" ht="15.2" spans="1:24">
      <c r="A30" s="21"/>
      <c r="B30" s="20">
        <f t="shared" si="4"/>
        <v>16</v>
      </c>
      <c r="C30" s="21"/>
      <c r="D30" s="21"/>
      <c r="E30" s="21"/>
      <c r="F30" s="21"/>
      <c r="G30" s="21"/>
      <c r="H30" s="21"/>
      <c r="I30" s="21"/>
      <c r="J30" s="20"/>
      <c r="K30" s="21"/>
      <c r="L30" s="40"/>
      <c r="M30" s="21"/>
      <c r="N30" s="21"/>
      <c r="O30" s="20"/>
      <c r="P30" s="21"/>
      <c r="Q30" s="40"/>
      <c r="R30" s="21"/>
      <c r="S30" s="21"/>
      <c r="T30" s="20"/>
      <c r="U30" s="21"/>
      <c r="V30" s="40"/>
      <c r="W30" s="21"/>
      <c r="X30" s="21"/>
    </row>
    <row r="31" ht="15.2" spans="1:24">
      <c r="A31" s="21"/>
      <c r="B31" s="20">
        <f t="shared" si="4"/>
        <v>17</v>
      </c>
      <c r="C31" s="21"/>
      <c r="D31" s="21"/>
      <c r="E31" s="21"/>
      <c r="F31" s="21"/>
      <c r="G31" s="21"/>
      <c r="H31" s="21"/>
      <c r="I31" s="21"/>
      <c r="J31" s="20"/>
      <c r="K31" s="21"/>
      <c r="L31" s="40"/>
      <c r="M31" s="21"/>
      <c r="N31" s="21"/>
      <c r="O31" s="20"/>
      <c r="P31" s="21"/>
      <c r="Q31" s="40"/>
      <c r="R31" s="21"/>
      <c r="S31" s="21"/>
      <c r="T31" s="20"/>
      <c r="U31" s="21"/>
      <c r="V31" s="40"/>
      <c r="W31" s="21"/>
      <c r="X31" s="21"/>
    </row>
    <row r="32" ht="15.2" spans="1:24">
      <c r="A32" s="21"/>
      <c r="B32" s="20">
        <f t="shared" si="4"/>
        <v>18</v>
      </c>
      <c r="C32" s="21"/>
      <c r="D32" s="21"/>
      <c r="E32" s="21"/>
      <c r="F32" s="21"/>
      <c r="G32" s="21"/>
      <c r="H32" s="21"/>
      <c r="I32" s="21"/>
      <c r="J32" s="20"/>
      <c r="K32" s="21"/>
      <c r="L32" s="40"/>
      <c r="M32" s="21"/>
      <c r="N32" s="21"/>
      <c r="O32" s="20"/>
      <c r="P32" s="21"/>
      <c r="Q32" s="40"/>
      <c r="R32" s="21"/>
      <c r="S32" s="21"/>
      <c r="T32" s="20"/>
      <c r="U32" s="21"/>
      <c r="V32" s="40"/>
      <c r="W32" s="21"/>
      <c r="X32" s="21"/>
    </row>
    <row r="33" ht="15.2" spans="1:24">
      <c r="A33" s="21"/>
      <c r="B33" s="20">
        <f t="shared" si="4"/>
        <v>19</v>
      </c>
      <c r="C33" s="21"/>
      <c r="D33" s="21"/>
      <c r="E33" s="21"/>
      <c r="F33" s="21"/>
      <c r="G33" s="21"/>
      <c r="H33" s="21"/>
      <c r="I33" s="21"/>
      <c r="J33" s="20"/>
      <c r="K33" s="21"/>
      <c r="L33" s="40"/>
      <c r="M33" s="21"/>
      <c r="N33" s="21"/>
      <c r="O33" s="20"/>
      <c r="P33" s="21"/>
      <c r="Q33" s="40"/>
      <c r="R33" s="21"/>
      <c r="S33" s="21"/>
      <c r="T33" s="20"/>
      <c r="U33" s="21"/>
      <c r="V33" s="40"/>
      <c r="W33" s="21"/>
      <c r="X33" s="21"/>
    </row>
    <row r="34" ht="15.2" spans="1:24">
      <c r="A34" s="21"/>
      <c r="B34" s="20">
        <f t="shared" si="4"/>
        <v>20</v>
      </c>
      <c r="C34" s="21"/>
      <c r="D34" s="21"/>
      <c r="E34" s="21"/>
      <c r="F34" s="21"/>
      <c r="G34" s="21"/>
      <c r="H34" s="21"/>
      <c r="I34" s="21"/>
      <c r="J34" s="20"/>
      <c r="K34" s="21"/>
      <c r="L34" s="40"/>
      <c r="M34" s="21"/>
      <c r="N34" s="21"/>
      <c r="O34" s="20"/>
      <c r="P34" s="21"/>
      <c r="Q34" s="40"/>
      <c r="R34" s="21"/>
      <c r="S34" s="21"/>
      <c r="T34" s="20"/>
      <c r="U34" s="21"/>
      <c r="V34" s="40"/>
      <c r="W34" s="21"/>
      <c r="X34" s="21"/>
    </row>
    <row r="35" ht="15.2" spans="1:24">
      <c r="A35" s="21"/>
      <c r="B35" s="20">
        <f t="shared" si="4"/>
        <v>21</v>
      </c>
      <c r="C35" s="21"/>
      <c r="D35" s="21"/>
      <c r="E35" s="21"/>
      <c r="F35" s="21"/>
      <c r="G35" s="21"/>
      <c r="H35" s="21"/>
      <c r="I35" s="21"/>
      <c r="J35" s="20"/>
      <c r="K35" s="21"/>
      <c r="L35" s="40"/>
      <c r="M35" s="21"/>
      <c r="N35" s="21"/>
      <c r="O35" s="20"/>
      <c r="P35" s="21"/>
      <c r="Q35" s="40"/>
      <c r="R35" s="21"/>
      <c r="S35" s="21"/>
      <c r="T35" s="20"/>
      <c r="U35" s="21"/>
      <c r="V35" s="40"/>
      <c r="W35" s="21"/>
      <c r="X35" s="21"/>
    </row>
    <row r="36" ht="15.2" spans="1:24">
      <c r="A36" s="21"/>
      <c r="B36" s="20">
        <f t="shared" si="4"/>
        <v>22</v>
      </c>
      <c r="C36" s="21"/>
      <c r="D36" s="21"/>
      <c r="E36" s="21"/>
      <c r="F36" s="21"/>
      <c r="G36" s="21"/>
      <c r="H36" s="21"/>
      <c r="I36" s="21"/>
      <c r="J36" s="20"/>
      <c r="K36" s="21"/>
      <c r="L36" s="40"/>
      <c r="M36" s="21"/>
      <c r="N36" s="21"/>
      <c r="O36" s="20"/>
      <c r="P36" s="21"/>
      <c r="Q36" s="40"/>
      <c r="R36" s="21"/>
      <c r="S36" s="21"/>
      <c r="T36" s="20"/>
      <c r="U36" s="21"/>
      <c r="V36" s="40"/>
      <c r="W36" s="21"/>
      <c r="X36" s="21"/>
    </row>
    <row r="37" ht="15.2" spans="1:24">
      <c r="A37" s="21"/>
      <c r="B37" s="20">
        <f t="shared" si="4"/>
        <v>23</v>
      </c>
      <c r="C37" s="21"/>
      <c r="D37" s="21"/>
      <c r="E37" s="21"/>
      <c r="F37" s="21"/>
      <c r="G37" s="21"/>
      <c r="H37" s="21"/>
      <c r="I37" s="21"/>
      <c r="J37" s="20"/>
      <c r="K37" s="21"/>
      <c r="L37" s="40"/>
      <c r="M37" s="21"/>
      <c r="N37" s="21"/>
      <c r="O37" s="20"/>
      <c r="P37" s="21"/>
      <c r="Q37" s="40"/>
      <c r="R37" s="21"/>
      <c r="S37" s="21"/>
      <c r="T37" s="20"/>
      <c r="U37" s="21"/>
      <c r="V37" s="40"/>
      <c r="W37" s="21"/>
      <c r="X37" s="21"/>
    </row>
    <row r="38" ht="15.2" spans="1:24">
      <c r="A38" s="21"/>
      <c r="B38" s="20">
        <f t="shared" si="4"/>
        <v>24</v>
      </c>
      <c r="C38" s="21"/>
      <c r="D38" s="21"/>
      <c r="E38" s="21"/>
      <c r="F38" s="21"/>
      <c r="G38" s="21"/>
      <c r="H38" s="21"/>
      <c r="I38" s="21"/>
      <c r="J38" s="20"/>
      <c r="K38" s="21"/>
      <c r="L38" s="40"/>
      <c r="M38" s="21"/>
      <c r="N38" s="21"/>
      <c r="O38" s="20"/>
      <c r="P38" s="21"/>
      <c r="Q38" s="40"/>
      <c r="R38" s="21"/>
      <c r="S38" s="21"/>
      <c r="T38" s="20"/>
      <c r="U38" s="21"/>
      <c r="V38" s="40"/>
      <c r="W38" s="21"/>
      <c r="X38" s="21"/>
    </row>
    <row r="39" ht="15.2" spans="1:24">
      <c r="A39" s="21"/>
      <c r="B39" s="20">
        <f t="shared" si="4"/>
        <v>25</v>
      </c>
      <c r="C39" s="21"/>
      <c r="D39" s="21"/>
      <c r="E39" s="21"/>
      <c r="F39" s="21"/>
      <c r="G39" s="21"/>
      <c r="H39" s="21"/>
      <c r="I39" s="21"/>
      <c r="J39" s="20"/>
      <c r="K39" s="21"/>
      <c r="L39" s="40"/>
      <c r="M39" s="21"/>
      <c r="N39" s="21"/>
      <c r="O39" s="20"/>
      <c r="P39" s="21"/>
      <c r="Q39" s="40"/>
      <c r="R39" s="21"/>
      <c r="S39" s="21"/>
      <c r="T39" s="20"/>
      <c r="U39" s="21"/>
      <c r="V39" s="40"/>
      <c r="W39" s="21"/>
      <c r="X39" s="21"/>
    </row>
    <row r="40" ht="15.2" spans="1:24">
      <c r="A40" s="21"/>
      <c r="B40" s="20">
        <f t="shared" si="4"/>
        <v>26</v>
      </c>
      <c r="C40" s="21"/>
      <c r="D40" s="21"/>
      <c r="E40" s="21"/>
      <c r="F40" s="21"/>
      <c r="G40" s="21"/>
      <c r="H40" s="21"/>
      <c r="I40" s="21"/>
      <c r="J40" s="20"/>
      <c r="K40" s="21"/>
      <c r="L40" s="40"/>
      <c r="M40" s="21"/>
      <c r="N40" s="21"/>
      <c r="O40" s="20"/>
      <c r="P40" s="21"/>
      <c r="Q40" s="40"/>
      <c r="R40" s="21"/>
      <c r="S40" s="21"/>
      <c r="T40" s="20"/>
      <c r="U40" s="21"/>
      <c r="V40" s="40"/>
      <c r="W40" s="21"/>
      <c r="X40" s="21"/>
    </row>
  </sheetData>
  <mergeCells count="28">
    <mergeCell ref="J2:L2"/>
    <mergeCell ref="G4:H4"/>
    <mergeCell ref="G5:H5"/>
    <mergeCell ref="G6:H6"/>
    <mergeCell ref="G7:H7"/>
    <mergeCell ref="G8:H8"/>
    <mergeCell ref="B9:D9"/>
    <mergeCell ref="G9:H9"/>
    <mergeCell ref="G10:H10"/>
    <mergeCell ref="G11:H11"/>
    <mergeCell ref="B12:D12"/>
    <mergeCell ref="J13:N13"/>
    <mergeCell ref="O13:S13"/>
    <mergeCell ref="T13:X13"/>
    <mergeCell ref="A10:A11"/>
    <mergeCell ref="A13:A14"/>
    <mergeCell ref="B13:B14"/>
    <mergeCell ref="C13:C14"/>
    <mergeCell ref="D13:D14"/>
    <mergeCell ref="E13:E14"/>
    <mergeCell ref="F2:F3"/>
    <mergeCell ref="F13:F14"/>
    <mergeCell ref="G13:G14"/>
    <mergeCell ref="H13:H14"/>
    <mergeCell ref="I2:I3"/>
    <mergeCell ref="I13:I14"/>
    <mergeCell ref="G2:H3"/>
    <mergeCell ref="B10:D11"/>
  </mergeCells>
  <conditionalFormatting sqref="G18">
    <cfRule type="containsText" dxfId="0" priority="6" operator="between" text="NT">
      <formula>NOT(ISERROR(SEARCH("NT",G18)))</formula>
    </cfRule>
  </conditionalFormatting>
  <conditionalFormatting sqref="H42">
    <cfRule type="containsText" dxfId="1" priority="5" operator="between" text="N/A">
      <formula>NOT(ISERROR(SEARCH("N/A",H42)))</formula>
    </cfRule>
  </conditionalFormatting>
  <conditionalFormatting sqref="J15:J40 O15:O40 T15:T40">
    <cfRule type="containsText" dxfId="2" priority="1" operator="between" text="Passed">
      <formula>NOT(ISERROR(SEARCH("Passed",J15)))</formula>
    </cfRule>
    <cfRule type="containsText" dxfId="3" priority="2" operator="between" text="Failed">
      <formula>NOT(ISERROR(SEARCH("Failed",J15)))</formula>
    </cfRule>
    <cfRule type="containsText" dxfId="1" priority="7" operator="between" text="N/A">
      <formula>NOT(ISERROR(SEARCH("N/A",J15)))</formula>
    </cfRule>
    <cfRule type="containsText" dxfId="0" priority="8" operator="between" text="NT">
      <formula>NOT(ISERROR(SEARCH("NT",J15)))</formula>
    </cfRule>
  </conditionalFormatting>
  <conditionalFormatting sqref="J15 O15:O40 T15:T40 J17:J40">
    <cfRule type="containsText" dxfId="1" priority="3" operator="between" text="N/A">
      <formula>NOT(ISERROR(SEARCH("N/A",J15)))</formula>
    </cfRule>
    <cfRule type="containsText" dxfId="4" priority="4" operator="between" text="NT">
      <formula>NOT(ISERROR(SEARCH("NT",J15)))</formula>
    </cfRule>
  </conditionalFormatting>
  <conditionalFormatting sqref="O15:O40 T15:T40 J17:J40">
    <cfRule type="notContainsBlanks" dxfId="5" priority="9">
      <formula>LEN(TRIM(J15))&gt;0</formula>
    </cfRule>
  </conditionalFormatting>
  <dataValidations count="3">
    <dataValidation type="list" allowBlank="1" sqref="D15:D40">
      <formula1>"Display,Default,Function,Validate,Transition,Operation"</formula1>
    </dataValidation>
    <dataValidation type="list" allowBlank="1" sqref="J15:J40 O15:O40 T15:T40">
      <formula1>"Passed,Failed,N/A,NT,Confirmed"</formula1>
    </dataValidation>
    <dataValidation type="list" allowBlank="1" sqref="M15:M40 R15:R40 W15:W40">
      <formula1>#REF!</formula1>
    </dataValidation>
  </dataValidations>
  <hyperlinks>
    <hyperlink ref="E2" location="ScreenLists!A1" display="一覧に戻る /BACK TO LIS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phuongmta</cp:lastModifiedBy>
  <dcterms:created xsi:type="dcterms:W3CDTF">2026-06-27T01:06:00Z</dcterms:created>
  <dcterms:modified xsi:type="dcterms:W3CDTF">2026-07-28T18:15:22Z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8BFB4FF730E85EFF45413E6AC5B91459_42</vt:lpwstr>
  </property>
  <property fmtid="{D5CDD505-2E9C-101B-9397-08002B2CF9AE}" pid="3" name="KSOProductBuildVer">
    <vt:lpwstr>1033-6.10.2.8397</vt:lpwstr>
  </property>
</Properties>
</file>